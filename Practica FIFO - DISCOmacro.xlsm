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dor\Desktop\"/>
    </mc:Choice>
  </mc:AlternateContent>
  <xr:revisionPtr revIDLastSave="0" documentId="8_{F588D330-81E0-48E9-AE3C-1FDC7FA40F6E}" xr6:coauthVersionLast="47" xr6:coauthVersionMax="47" xr10:uidLastSave="{00000000-0000-0000-0000-000000000000}"/>
  <bookViews>
    <workbookView xWindow="-108" yWindow="-108" windowWidth="23256" windowHeight="13176" xr2:uid="{2D4D00B0-51EF-46D7-BB90-BC92214306B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 a="1"/>
  <c r="H5" i="1" s="1"/>
  <c r="G7" i="1"/>
  <c r="G8" i="1"/>
  <c r="G9" i="1"/>
  <c r="G10" i="1"/>
  <c r="G11" i="1"/>
  <c r="G6" i="1"/>
  <c r="G5" i="1"/>
  <c r="F5" i="1" a="1"/>
  <c r="F5" i="1" s="1"/>
  <c r="D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<sst xmlns="http://schemas.openxmlformats.org/spreadsheetml/2006/main" count="7" uniqueCount="7">
  <si>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Numero de Pistas</t>
  </si>
  <si>
    <t>Vector de pistas para acceder</t>
  </si>
  <si>
    <t>Numero de pistas para acceder</t>
  </si>
  <si>
    <t>Vector ordenado</t>
  </si>
  <si>
    <t>Numero de pista de inicio</t>
  </si>
  <si>
    <t>Numero de pistas atravesadas</t>
  </si>
  <si>
    <t>Longitud media de busqueda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</si>
</sst>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396240</xdr:colOff>
          <xdr:row>13</xdr:row>
          <xdr:rowOff>15239</xdr:rowOff>
        </xdr:from>
        <xdr:to>
          <xdr:col>1</xdr:col>
          <xdr:colOff>1010816</xdr:colOff>
          <xdr:row>14</xdr:row>
          <xdr:rowOff>62204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463575</xdr:colOff>
          <xdr:row>13</xdr:row>
          <xdr:rowOff>15551</xdr:rowOff>
        </xdr:from>
        <xdr:to>
          <xdr:col>2</xdr:col>
          <xdr:colOff>1065244</xdr:colOff>
          <xdr:row>14</xdr:row>
          <xdr:rowOff>85531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C284-B2ED-4C01-A740-DD5B24F70203}">
  <sheetPr codeName="Sheet1"/>
  <dimension ref="B4:H11"/>
  <sheetViews>
    <sheetView tabSelected="1" zoomScale="98" workbookViewId="0">
      <selection activeCell="H6" sqref="H6"/>
    </sheetView>
  </sheetViews>
  <sheetFormatPr baseColWidth="10" defaultColWidth="8.88671875" defaultRowHeight="14.4" x14ac:dyDescent="0.3"/>
  <cols>
    <col min="2" max="2" width="15.77734375" bestFit="1" customWidth="1"/>
    <col min="3" max="3" width="22.6640625" bestFit="1" customWidth="1"/>
    <col min="4" max="4" width="26.6640625" bestFit="1" customWidth="1"/>
    <col min="5" max="5" width="25.44140625" bestFit="1" customWidth="1"/>
    <col min="6" max="6" width="15.21875" bestFit="1" customWidth="1"/>
    <col min="7" max="7" width="26.44140625" bestFit="1" customWidth="1"/>
    <col min="8" max="8" width="24.88671875" bestFit="1" customWidth="1"/>
  </cols>
  <sheetData>
    <row r="4" spans="2:8" x14ac:dyDescent="0.3">
      <c r="B4" s="1" t="s">
        <v>0</v>
      </c>
      <c r="C4" s="1" t="s">
        <v>4</v>
      </c>
      <c r="D4" s="1" t="s">
        <v>2</v>
      </c>
      <c r="E4" s="1" t="s">
        <v>1</v>
      </c>
      <c r="F4" s="1" t="s">
        <v>3</v>
      </c>
      <c r="G4" s="1" t="s">
        <v>5</v>
      </c>
      <c r="H4" s="1" t="s">
        <v>6</v>
      </c>
    </row>
    <row r="5" spans="2:8" x14ac:dyDescent="0.3">
      <c r="B5" s="1">
        <v>300</v>
      </c>
      <c r="C5" s="1">
        <v>150</v>
      </c>
      <c r="D5" s="1">
        <f>COUNT(E5:E19)</f>
        <v>7</v>
      </c>
      <c r="E5" s="1">
        <v>9</v>
      </c>
      <c r="F5" cm="1">
        <f t="array" ref="F5:F11">_xlfn._xlws.SORT(_xlfn._xlws.FILTER(E5:E17,E5:E17&lt;&gt;""),1,1)</f>
        <v>9</v>
      </c>
      <c r="G5" s="1">
        <f>C5-F5</f>
        <v>141</v>
      </c>
      <c r="H5" s="2" cm="1">
        <f t="array" ref="H5">SUM(G5:G11/D5)</f>
        <v>47.428571428571423</v>
      </c>
    </row>
    <row r="6" spans="2:8" x14ac:dyDescent="0.3">
      <c r="E6" s="1">
        <v>200</v>
      </c>
      <c r="F6">
        <v>25</v>
      </c>
      <c r="G6" s="1">
        <f>ABS(F6-F5)</f>
        <v>16</v>
      </c>
    </row>
    <row r="7" spans="2:8" x14ac:dyDescent="0.3">
      <c r="E7" s="1">
        <v>84</v>
      </c>
      <c r="F7">
        <v>69</v>
      </c>
      <c r="G7" s="1">
        <f t="shared" ref="G7:G11" si="0">ABS(F7-F6)</f>
        <v>44</v>
      </c>
    </row>
    <row r="8" spans="2:8" x14ac:dyDescent="0.3">
      <c r="E8" s="1">
        <v>69</v>
      </c>
      <c r="F8">
        <v>77</v>
      </c>
      <c r="G8" s="1">
        <f t="shared" si="0"/>
        <v>8</v>
      </c>
    </row>
    <row r="9" spans="2:8" x14ac:dyDescent="0.3">
      <c r="E9" s="1">
        <v>25</v>
      </c>
      <c r="F9">
        <v>84</v>
      </c>
      <c r="G9" s="1">
        <f t="shared" si="0"/>
        <v>7</v>
      </c>
    </row>
    <row r="10" spans="2:8" x14ac:dyDescent="0.3">
      <c r="E10" s="1">
        <v>77</v>
      </c>
      <c r="F10">
        <v>95</v>
      </c>
      <c r="G10" s="1">
        <f t="shared" si="0"/>
        <v>11</v>
      </c>
    </row>
    <row r="11" spans="2:8" x14ac:dyDescent="0.3">
      <c r="E11" s="1">
        <v>95</v>
      </c>
      <c r="F11">
        <v>200</v>
      </c>
      <c r="G11" s="1">
        <f t="shared" si="0"/>
        <v>105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FODisco">
                <anchor moveWithCells="1">
                  <from>
                    <xdr:col>1</xdr:col>
                    <xdr:colOff>396240</xdr:colOff>
                    <xdr:row>13</xdr:row>
                    <xdr:rowOff>15240</xdr:rowOff>
                  </from>
                  <to>
                    <xdr:col>1</xdr:col>
                    <xdr:colOff>1013460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rrarFIFODisco">
                <anchor moveWithCells="1">
                  <from>
                    <xdr:col>2</xdr:col>
                    <xdr:colOff>464820</xdr:colOff>
                    <xdr:row>13</xdr:row>
                    <xdr:rowOff>15240</xdr:rowOff>
                  </from>
                  <to>
                    <xdr:col>2</xdr:col>
                    <xdr:colOff>1066800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Neri Uriel Sosa Villanueva</dc:creator>
  <cp:lastModifiedBy>Vicente  Barrera Colin</cp:lastModifiedBy>
  <dcterms:created xsi:type="dcterms:W3CDTF">2023-10-22T18:32:17Z</dcterms:created>
  <dcterms:modified xsi:type="dcterms:W3CDTF">2023-10-23T16:22:22Z</dcterms:modified>
</cp:coreProperties>
</file>